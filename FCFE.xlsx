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fdffbe7a56c179/Documents/Finance Projects/"/>
    </mc:Choice>
  </mc:AlternateContent>
  <xr:revisionPtr revIDLastSave="0" documentId="8_{47544DFC-76D6-435D-AC95-81779BF3743F}" xr6:coauthVersionLast="47" xr6:coauthVersionMax="47" xr10:uidLastSave="{00000000-0000-0000-0000-000000000000}"/>
  <bookViews>
    <workbookView xWindow="-28920" yWindow="-120" windowWidth="29040" windowHeight="15720" xr2:uid="{B8C5A842-91D6-4AA6-8C6A-AABD01251BF3}"/>
  </bookViews>
  <sheets>
    <sheet name="FCFEStableGrow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B72" i="1" s="1"/>
  <c r="D58" i="1"/>
  <c r="D55" i="1"/>
  <c r="D54" i="1"/>
  <c r="D52" i="1"/>
  <c r="E51" i="1"/>
  <c r="C47" i="1"/>
  <c r="C46" i="1"/>
  <c r="C45" i="1"/>
  <c r="G29" i="1"/>
  <c r="B73" i="1" l="1"/>
  <c r="B68" i="1"/>
  <c r="B66" i="1"/>
  <c r="B67" i="1"/>
  <c r="B69" i="1"/>
  <c r="B65" i="1"/>
  <c r="B70" i="1"/>
  <c r="B71" i="1"/>
  <c r="E55" i="1"/>
  <c r="D53" i="1" s="1"/>
  <c r="E53" i="1" s="1"/>
  <c r="E56" i="1" s="1"/>
  <c r="C70" i="1" l="1"/>
  <c r="C73" i="1"/>
  <c r="C67" i="1"/>
  <c r="C68" i="1"/>
  <c r="C69" i="1"/>
  <c r="C71" i="1"/>
  <c r="F61" i="1"/>
  <c r="C66" i="1"/>
  <c r="C72" i="1"/>
  <c r="C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tc={FFA6D63A-7177-45E4-B8E2-6941813A2984}</author>
    <author>tc={5FB8E650-7FAC-460F-A39F-C45191F849E6}</author>
  </authors>
  <commentList>
    <comment ref="G28" authorId="0" shapeId="0" xr:uid="{FFA6D63A-7177-45E4-B8E2-6941813A2984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you set your perpetual growth rate at any number greater than zero, this should be no.</t>
      </text>
    </comment>
    <comment ref="G30" authorId="1" shapeId="0" xr:uid="{5FB8E650-7FAC-460F-A39F-C45191F849E6}">
      <text>
        <t>[Threaded comment]
Your version of Excel allows you to read this threaded comment; however, any edits to it will get removed if the file is opened in a newer version of Excel. Learn more: https://go.microsoft.com/fwlink/?linkid=870924
Comment:
    Your reinvestment rate should be consistent with your growth rate assumptions. If you answer yes to this question, you should enter the return on Equity.</t>
      </text>
    </comment>
  </commentList>
</comments>
</file>

<file path=xl/sharedStrings.xml><?xml version="1.0" encoding="utf-8"?>
<sst xmlns="http://schemas.openxmlformats.org/spreadsheetml/2006/main" count="62" uniqueCount="55">
  <si>
    <t>FCFE STABLE GROWTH MODEL</t>
  </si>
  <si>
    <t xml:space="preserve"> free cashflows to equity, especially when they are</t>
  </si>
  <si>
    <t xml:space="preserve">This model is designed to value the equity in a stable firm on the basis of </t>
  </si>
  <si>
    <t>different from dividends paid.</t>
  </si>
  <si>
    <t>Assumptions of the model:</t>
  </si>
  <si>
    <t>1. The firm is in a steady state and will grow at a stable rate forever.</t>
  </si>
  <si>
    <t>2. The firm does not pay out what it can afford to in dividends, i.e. Dividends ≠ FCFE</t>
  </si>
  <si>
    <t>User inputs</t>
  </si>
  <si>
    <t>The user has to define the following inputs to the model:</t>
  </si>
  <si>
    <t>1. Current Earnings per Share</t>
  </si>
  <si>
    <t>2. Capital Spending and Depreciation per share</t>
  </si>
  <si>
    <t>3. Change in working capital per share</t>
  </si>
  <si>
    <t>4. Desired debt level for financing working capital and capital spending needs.</t>
  </si>
  <si>
    <t>5. Cost of Equity or Inputs to the CAPM (Beta, Riskfree rate, Risk Premium)</t>
  </si>
  <si>
    <t xml:space="preserve">6. Expected Growth Rate in free cashflows to equity forever. </t>
  </si>
  <si>
    <t>Inputs</t>
  </si>
  <si>
    <t xml:space="preserve">Current Earnings per share = </t>
  </si>
  <si>
    <t>(in currency)</t>
  </si>
  <si>
    <t>Capital Spending / Share =</t>
  </si>
  <si>
    <t>Depreciation / Share =</t>
  </si>
  <si>
    <t>Chg. Working Capital / Share =</t>
  </si>
  <si>
    <t>Desired Debt financing ratio =</t>
  </si>
  <si>
    <t>Do you want to offset capital expenditures by depreciation in the future?</t>
  </si>
  <si>
    <t>The reinvestment rate based upon your inputs is computed to be</t>
  </si>
  <si>
    <t>Do you want to recompute this reinvestment rate based upon fundamentals?</t>
  </si>
  <si>
    <t>If yes, enter the return on equity that you expect this firm to have in perpetuity</t>
  </si>
  <si>
    <t>(in percent)</t>
  </si>
  <si>
    <t>Are you directly entering the cost of equity?</t>
  </si>
  <si>
    <t>If yes, enter cost of equity =</t>
  </si>
  <si>
    <r>
      <rPr>
        <i/>
        <sz val="11"/>
        <color theme="1"/>
        <rFont val="Aptos Narrow"/>
        <family val="2"/>
        <scheme val="minor"/>
      </rPr>
      <t xml:space="preserve">If no, enter the inputs for the </t>
    </r>
    <r>
      <rPr>
        <sz val="11"/>
        <color theme="1"/>
        <rFont val="Aptos Narrow"/>
        <family val="2"/>
        <scheme val="minor"/>
      </rPr>
      <t>CAPM</t>
    </r>
  </si>
  <si>
    <t>Beta of the stock =</t>
  </si>
  <si>
    <t>Riskfree rate =</t>
  </si>
  <si>
    <t>Risk Premium</t>
  </si>
  <si>
    <t>Expected Growth Rate =</t>
  </si>
  <si>
    <t>Warnings:</t>
  </si>
  <si>
    <t>This is the output from the Gordon Growth Model</t>
  </si>
  <si>
    <t xml:space="preserve">Firm Details: from inputs </t>
  </si>
  <si>
    <t>Current Earnings per share =</t>
  </si>
  <si>
    <t xml:space="preserve">  -(1- Desired debt fraction) *</t>
  </si>
  <si>
    <t xml:space="preserve"> (Capital Spending - Depreciation)</t>
  </si>
  <si>
    <t xml:space="preserve"> -(1- Desired debt fraction) *</t>
  </si>
  <si>
    <t>∂ Working Capital</t>
  </si>
  <si>
    <t>Free Cashflow to Equity =</t>
  </si>
  <si>
    <t>Cost of Equity =</t>
  </si>
  <si>
    <t>Expected Growth rate =</t>
  </si>
  <si>
    <t>No</t>
  </si>
  <si>
    <t>Yes</t>
  </si>
  <si>
    <t>The expected growth rate for a stable firm</t>
  </si>
  <si>
    <t xml:space="preserve">Cannot be significantly higher than the nominal </t>
  </si>
  <si>
    <t>growth rate in the economy in which the firm</t>
  </si>
  <si>
    <t>operates. It can be lower.</t>
  </si>
  <si>
    <t>Gordon Growth Model Value =</t>
  </si>
  <si>
    <t>Growth rate</t>
  </si>
  <si>
    <t>Value</t>
  </si>
  <si>
    <t xml:space="preserve">Desired debt financing ratio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</si>
</sst>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7" formatCode="0.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sz val="14"/>
      <color theme="1"/>
      <name val="Times  "/>
    </font>
    <font>
      <sz val="12"/>
      <color theme="1"/>
      <name val="Times  "/>
    </font>
    <font>
      <b/>
      <sz val="12"/>
      <color theme="1"/>
      <name val="Times  "/>
    </font>
    <font>
      <sz val="10"/>
      <name val="Times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4" fillId="0" borderId="7" xfId="0" applyFont="1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8" fillId="0" borderId="0" xfId="0" applyFont="1"/>
    <xf numFmtId="0" fontId="0" fillId="2" borderId="9" xfId="0" applyFill="1" applyBorder="1"/>
    <xf numFmtId="164" fontId="0" fillId="2" borderId="9" xfId="0" applyNumberFormat="1" applyFill="1" applyBorder="1"/>
    <xf numFmtId="10" fontId="0" fillId="2" borderId="9" xfId="0" applyNumberFormat="1" applyFill="1" applyBorder="1"/>
    <xf numFmtId="10" fontId="0" fillId="3" borderId="9" xfId="0" applyNumberFormat="1" applyFill="1" applyBorder="1"/>
    <xf numFmtId="10" fontId="0" fillId="2" borderId="9" xfId="2" applyNumberFormat="1" applyFont="1" applyFill="1" applyBorder="1"/>
    <xf numFmtId="164" fontId="0" fillId="0" borderId="9" xfId="1" applyNumberFormat="1" applyFont="1" applyBorder="1"/>
    <xf numFmtId="10" fontId="0" fillId="0" borderId="9" xfId="0" applyNumberFormat="1" applyBorder="1"/>
    <xf numFmtId="8" fontId="0" fillId="0" borderId="9" xfId="0" applyNumberFormat="1" applyBorder="1"/>
    <xf numFmtId="10" fontId="0" fillId="0" borderId="0" xfId="2" applyNumberFormat="1" applyFont="1"/>
    <xf numFmtId="0" fontId="0" fillId="0" borderId="10" xfId="0" applyBorder="1"/>
    <xf numFmtId="0" fontId="0" fillId="0" borderId="11" xfId="0" applyBorder="1"/>
    <xf numFmtId="8" fontId="0" fillId="0" borderId="12" xfId="0" applyNumberFormat="1" applyBorder="1"/>
    <xf numFmtId="0" fontId="0" fillId="0" borderId="13" xfId="0" applyBorder="1"/>
    <xf numFmtId="0" fontId="0" fillId="0" borderId="15" xfId="0" applyBorder="1"/>
    <xf numFmtId="167" fontId="0" fillId="0" borderId="16" xfId="0" applyNumberFormat="1" applyBorder="1"/>
    <xf numFmtId="167" fontId="0" fillId="0" borderId="17" xfId="0" applyNumberFormat="1" applyBorder="1"/>
    <xf numFmtId="8" fontId="0" fillId="0" borderId="14" xfId="0" applyNumberFormat="1" applyBorder="1"/>
    <xf numFmtId="8" fontId="0" fillId="0" borderId="17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vs. Expected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FCFEStableGrowth!$C$64</c:f>
              <c:strCache>
                <c:ptCount val="1"/>
                <c:pt idx="0">
                  <c:v>Value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0070C0"/>
              </a:solidFill>
              <a:ln w="9525">
                <a:solidFill>
                  <a:schemeClr val="tx1"/>
                </a:solidFill>
                <a:round/>
              </a:ln>
              <a:effectLst/>
            </c:spPr>
          </c:marker>
          <c:cat>
            <c:numRef>
              <c:f>FCFEStableGrowth!$B$65:$B$73</c:f>
              <c:numCache>
                <c:formatCode>0.0%</c:formatCode>
                <c:ptCount val="9"/>
                <c:pt idx="0">
                  <c:v>0.1</c:v>
                </c:pt>
                <c:pt idx="1">
                  <c:v>0.09</c:v>
                </c:pt>
                <c:pt idx="2">
                  <c:v>0.08</c:v>
                </c:pt>
                <c:pt idx="3">
                  <c:v>6.9999999999999993E-2</c:v>
                </c:pt>
                <c:pt idx="4">
                  <c:v>0.06</c:v>
                </c:pt>
                <c:pt idx="5">
                  <c:v>4.9999999999999996E-2</c:v>
                </c:pt>
                <c:pt idx="6">
                  <c:v>3.9999999999999994E-2</c:v>
                </c:pt>
                <c:pt idx="7">
                  <c:v>0.03</c:v>
                </c:pt>
                <c:pt idx="8">
                  <c:v>1.9999999999999997E-2</c:v>
                </c:pt>
              </c:numCache>
            </c:numRef>
          </c:cat>
          <c:val>
            <c:numRef>
              <c:f>FCFEStableGrowth!$C$65:$C$73</c:f>
              <c:numCache>
                <c:formatCode>"$"#,##0.00_);[Red]\("$"#,##0.00\)</c:formatCode>
                <c:ptCount val="9"/>
                <c:pt idx="0">
                  <c:v>98.27868852459018</c:v>
                </c:pt>
                <c:pt idx="1">
                  <c:v>73.339506172839506</c:v>
                </c:pt>
                <c:pt idx="2">
                  <c:v>58.277227722772281</c:v>
                </c:pt>
                <c:pt idx="3">
                  <c:v>48.194214876033051</c:v>
                </c:pt>
                <c:pt idx="4">
                  <c:v>40.971631205673752</c:v>
                </c:pt>
                <c:pt idx="5">
                  <c:v>35.543478260869556</c:v>
                </c:pt>
                <c:pt idx="6">
                  <c:v>31.314917127071819</c:v>
                </c:pt>
                <c:pt idx="7">
                  <c:v>27.927860696517413</c:v>
                </c:pt>
                <c:pt idx="8">
                  <c:v>25.15384615384615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E-4381-940D-DF9D77260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395120"/>
        <c:axId val="800383600"/>
      </c:lineChart>
      <c:catAx>
        <c:axId val="80039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83600"/>
        <c:crosses val="autoZero"/>
        <c:auto val="1"/>
        <c:lblAlgn val="ctr"/>
        <c:lblOffset val="100"/>
        <c:noMultiLvlLbl val="0"/>
      </c:catAx>
      <c:valAx>
        <c:axId val="800383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of Stock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9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63</xdr:row>
      <xdr:rowOff>1905</xdr:rowOff>
    </xdr:from>
    <xdr:to>
      <xdr:col>8</xdr:col>
      <xdr:colOff>247650</xdr:colOff>
      <xdr:row>83</xdr:row>
      <xdr:rowOff>120967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D1ABF-A8A5-518D-5816-8453352CC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topher Burpeau" id="{7C572B07-2878-45AE-B582-2CFD5B10D63C}" userId="a0fdffbe7a56c17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8" dT="2025-12-09T15:58:04.84" personId="{7C572B07-2878-45AE-B582-2CFD5B10D63C}" id="{FFA6D63A-7177-45E4-B8E2-6941813A2984}">
    <text>If you set your perpetual growth rate at any number greater than zero, this should be no.</text>
  </threadedComment>
  <threadedComment ref="G30" dT="2025-12-09T15:59:59.67" personId="{7C572B07-2878-45AE-B582-2CFD5B10D63C}" id="{5FB8E650-7FAC-460F-A39F-C45191F849E6}">
    <text>Your reinvestment rate should be consistent with your growth rate assumptions. If you answer yes to this question, you should enter the return on Equity.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A928-0CFC-4953-8CEF-BAF94026807C}">
  <dimension ref="B1:H73"/>
  <sheetViews>
    <sheetView tabSelected="1" topLeftCell="A14" workbookViewId="0">
      <selection activeCell="J42" sqref="J42"/>
    </sheetView>
  </sheetViews>
  <sheetFormatPr defaultRowHeight="14.4"/>
  <cols>
    <col min="1" max="1" width="3.6640625" customWidth="1"/>
    <col min="2" max="8" width="15.88671875" customWidth="1"/>
  </cols>
  <sheetData>
    <row r="1" spans="2:8" ht="22.8">
      <c r="C1" s="1" t="s">
        <v>0</v>
      </c>
    </row>
    <row r="2" spans="2:8" ht="15" thickBot="1"/>
    <row r="3" spans="2:8" ht="18">
      <c r="B3" s="10" t="s">
        <v>2</v>
      </c>
      <c r="C3" s="11"/>
      <c r="D3" s="12"/>
      <c r="E3" s="11"/>
      <c r="F3" s="11"/>
      <c r="G3" s="11"/>
      <c r="H3" s="13"/>
    </row>
    <row r="4" spans="2:8" ht="18">
      <c r="B4" s="14" t="s">
        <v>1</v>
      </c>
      <c r="C4" s="15"/>
      <c r="D4" s="16"/>
      <c r="E4" s="15"/>
      <c r="F4" s="15"/>
      <c r="G4" s="15"/>
      <c r="H4" s="17"/>
    </row>
    <row r="5" spans="2:8" ht="18.600000000000001" thickBot="1">
      <c r="B5" s="18" t="s">
        <v>3</v>
      </c>
      <c r="C5" s="19"/>
      <c r="D5" s="20"/>
      <c r="E5" s="19"/>
      <c r="F5" s="19"/>
      <c r="G5" s="19"/>
      <c r="H5" s="21"/>
    </row>
    <row r="7" spans="2:8" ht="15.6">
      <c r="B7" s="23" t="s">
        <v>4</v>
      </c>
    </row>
    <row r="8" spans="2:8" ht="15.6">
      <c r="B8" s="22" t="s">
        <v>5</v>
      </c>
    </row>
    <row r="9" spans="2:8">
      <c r="B9" t="s">
        <v>6</v>
      </c>
    </row>
    <row r="12" spans="2:8">
      <c r="B12" s="24" t="s">
        <v>7</v>
      </c>
    </row>
    <row r="13" spans="2:8">
      <c r="B13" t="s">
        <v>8</v>
      </c>
    </row>
    <row r="14" spans="2:8">
      <c r="B14" t="s">
        <v>9</v>
      </c>
    </row>
    <row r="15" spans="2:8">
      <c r="B15" t="s">
        <v>10</v>
      </c>
    </row>
    <row r="16" spans="2:8">
      <c r="B16" t="s">
        <v>11</v>
      </c>
    </row>
    <row r="17" spans="2:7">
      <c r="B17" t="s">
        <v>12</v>
      </c>
    </row>
    <row r="18" spans="2:7">
      <c r="B18" t="s">
        <v>13</v>
      </c>
    </row>
    <row r="19" spans="2:7">
      <c r="B19" t="s">
        <v>14</v>
      </c>
    </row>
    <row r="21" spans="2:7">
      <c r="B21" s="24" t="s">
        <v>15</v>
      </c>
    </row>
    <row r="22" spans="2:7">
      <c r="B22" t="s">
        <v>16</v>
      </c>
      <c r="D22" s="29">
        <v>5.45</v>
      </c>
      <c r="E22" t="s">
        <v>17</v>
      </c>
    </row>
    <row r="24" spans="2:7">
      <c r="B24" t="s">
        <v>18</v>
      </c>
      <c r="D24" s="29">
        <v>2</v>
      </c>
      <c r="E24" t="s">
        <v>17</v>
      </c>
    </row>
    <row r="25" spans="2:7">
      <c r="B25" t="s">
        <v>19</v>
      </c>
      <c r="D25" s="29">
        <v>1.75</v>
      </c>
      <c r="E25" t="s">
        <v>17</v>
      </c>
    </row>
    <row r="26" spans="2:7">
      <c r="B26" t="s">
        <v>20</v>
      </c>
      <c r="D26" s="29">
        <v>0.6</v>
      </c>
      <c r="E26" t="s">
        <v>17</v>
      </c>
    </row>
    <row r="27" spans="2:7">
      <c r="B27" t="s">
        <v>21</v>
      </c>
      <c r="D27" s="30">
        <v>0.29970000000000002</v>
      </c>
      <c r="E27" t="s">
        <v>26</v>
      </c>
    </row>
    <row r="28" spans="2:7">
      <c r="B28" t="s">
        <v>22</v>
      </c>
      <c r="G28" s="28" t="s">
        <v>45</v>
      </c>
    </row>
    <row r="29" spans="2:7">
      <c r="B29" t="s">
        <v>23</v>
      </c>
      <c r="G29" s="31">
        <f>(D24-D25+D26)*(1-D27)/D22</f>
        <v>0.10922110091743116</v>
      </c>
    </row>
    <row r="30" spans="2:7">
      <c r="B30" t="s">
        <v>24</v>
      </c>
      <c r="G30" s="28" t="s">
        <v>46</v>
      </c>
    </row>
    <row r="31" spans="2:7">
      <c r="B31" t="s">
        <v>25</v>
      </c>
      <c r="G31" s="32">
        <v>0.12</v>
      </c>
    </row>
    <row r="32" spans="2:7">
      <c r="B32" t="s">
        <v>54</v>
      </c>
      <c r="D32" s="30">
        <v>0.29970000000000002</v>
      </c>
      <c r="E32" t="s">
        <v>26</v>
      </c>
    </row>
    <row r="34" spans="2:7">
      <c r="B34" t="s">
        <v>27</v>
      </c>
      <c r="E34" s="28" t="s">
        <v>45</v>
      </c>
    </row>
    <row r="35" spans="2:7">
      <c r="B35" t="s">
        <v>28</v>
      </c>
      <c r="D35" s="28"/>
    </row>
    <row r="36" spans="2:7">
      <c r="B36" t="s">
        <v>29</v>
      </c>
    </row>
    <row r="37" spans="2:7">
      <c r="B37" t="s">
        <v>30</v>
      </c>
      <c r="D37" s="28">
        <v>1.1000000000000001</v>
      </c>
    </row>
    <row r="38" spans="2:7">
      <c r="B38" t="s">
        <v>31</v>
      </c>
      <c r="D38" s="30">
        <v>7.0000000000000007E-2</v>
      </c>
      <c r="E38" t="s">
        <v>26</v>
      </c>
    </row>
    <row r="39" spans="2:7">
      <c r="B39" t="s">
        <v>32</v>
      </c>
      <c r="D39" s="30">
        <v>5.5E-2</v>
      </c>
      <c r="E39" t="s">
        <v>26</v>
      </c>
    </row>
    <row r="41" spans="2:7">
      <c r="B41" t="s">
        <v>33</v>
      </c>
      <c r="D41" s="30">
        <v>0.06</v>
      </c>
      <c r="E41" s="26" t="s">
        <v>47</v>
      </c>
    </row>
    <row r="42" spans="2:7">
      <c r="E42" s="26" t="s">
        <v>48</v>
      </c>
    </row>
    <row r="43" spans="2:7">
      <c r="E43" s="26" t="s">
        <v>49</v>
      </c>
    </row>
    <row r="44" spans="2:7" ht="15" thickBot="1">
      <c r="E44" s="26" t="s">
        <v>50</v>
      </c>
    </row>
    <row r="45" spans="2:7">
      <c r="B45" s="25" t="s">
        <v>34</v>
      </c>
      <c r="C45" s="2" t="str">
        <f>IF(D41&gt;10%,"This is high for a stable growth rate", "")</f>
        <v/>
      </c>
      <c r="D45" s="2"/>
      <c r="E45" s="2"/>
      <c r="F45" s="2"/>
      <c r="G45" s="3"/>
    </row>
    <row r="46" spans="2:7">
      <c r="B46" s="4"/>
      <c r="C46" s="5" t="str">
        <f>IF(D37&gt;1.5,"This Beta is high for a stable firm"," ")</f>
        <v xml:space="preserve"> </v>
      </c>
      <c r="D46" s="5"/>
      <c r="E46" s="5"/>
      <c r="F46" s="5"/>
      <c r="G46" s="6"/>
    </row>
    <row r="47" spans="2:7" ht="15" thickBot="1">
      <c r="B47" s="7"/>
      <c r="C47" s="8" t="str">
        <f>IF(D24&gt;1.5*D25,"Capital Spending seems high relative to depreciation"," ")</f>
        <v xml:space="preserve"> </v>
      </c>
      <c r="D47" s="8"/>
      <c r="E47" s="8"/>
      <c r="F47" s="8"/>
      <c r="G47" s="9"/>
    </row>
    <row r="49" spans="2:6">
      <c r="B49" s="24" t="s">
        <v>35</v>
      </c>
    </row>
    <row r="50" spans="2:6">
      <c r="B50" s="26" t="s">
        <v>36</v>
      </c>
    </row>
    <row r="51" spans="2:6">
      <c r="B51" t="s">
        <v>37</v>
      </c>
      <c r="E51" s="33">
        <f>D22</f>
        <v>5.45</v>
      </c>
    </row>
    <row r="52" spans="2:6">
      <c r="B52" t="s">
        <v>38</v>
      </c>
      <c r="D52" s="34">
        <f>(1-D32)</f>
        <v>0.70029999999999992</v>
      </c>
    </row>
    <row r="53" spans="2:6">
      <c r="B53" s="27" t="s">
        <v>39</v>
      </c>
      <c r="D53" s="35">
        <f>IF(G28="Yes",0,IF(G30="Yes",((D41/G31)*D22-E55)/D52,D24-D25))</f>
        <v>3.2911894902184784</v>
      </c>
      <c r="E53" s="35">
        <f>D52*D53</f>
        <v>2.3048200000000003</v>
      </c>
    </row>
    <row r="54" spans="2:6">
      <c r="B54" s="27" t="s">
        <v>40</v>
      </c>
      <c r="D54" s="34">
        <f>(1-D32)</f>
        <v>0.70029999999999992</v>
      </c>
    </row>
    <row r="55" spans="2:6">
      <c r="B55" s="27" t="s">
        <v>41</v>
      </c>
      <c r="D55" s="35">
        <f>D26</f>
        <v>0.6</v>
      </c>
      <c r="E55" s="35">
        <f>D54*D55</f>
        <v>0.42017999999999994</v>
      </c>
    </row>
    <row r="56" spans="2:6">
      <c r="B56" s="27" t="s">
        <v>42</v>
      </c>
      <c r="E56" s="35">
        <f>E51-E53-E55</f>
        <v>2.7250000000000001</v>
      </c>
    </row>
    <row r="58" spans="2:6">
      <c r="B58" s="27" t="s">
        <v>43</v>
      </c>
      <c r="D58" s="36">
        <f>IF(F33="Yes",D35,D38+D37*D39)</f>
        <v>0.1305</v>
      </c>
    </row>
    <row r="59" spans="2:6">
      <c r="B59" s="27" t="s">
        <v>44</v>
      </c>
      <c r="D59" s="36">
        <f>D41</f>
        <v>0.06</v>
      </c>
    </row>
    <row r="60" spans="2:6" ht="15" thickBot="1"/>
    <row r="61" spans="2:6" ht="15" thickBot="1">
      <c r="C61" s="37" t="s">
        <v>51</v>
      </c>
      <c r="D61" s="38"/>
      <c r="E61" s="38"/>
      <c r="F61" s="39">
        <f>E56*(1+D59)/(D58-D59)</f>
        <v>40.971631205673752</v>
      </c>
    </row>
    <row r="64" spans="2:6">
      <c r="B64" s="41" t="s">
        <v>52</v>
      </c>
      <c r="C64" s="40" t="s">
        <v>53</v>
      </c>
    </row>
    <row r="65" spans="2:3">
      <c r="B65" s="42">
        <f>$D$59+4%</f>
        <v>0.1</v>
      </c>
      <c r="C65" s="44">
        <f>$E$56*(1+$B65)/($D$58-$B65)</f>
        <v>98.27868852459018</v>
      </c>
    </row>
    <row r="66" spans="2:3">
      <c r="B66" s="42">
        <f>$D$59+3%</f>
        <v>0.09</v>
      </c>
      <c r="C66" s="44">
        <f>$E$56*(1+$B66)/($D$58-$B66)</f>
        <v>73.339506172839506</v>
      </c>
    </row>
    <row r="67" spans="2:3">
      <c r="B67" s="42">
        <f>$D$59+2%</f>
        <v>0.08</v>
      </c>
      <c r="C67" s="44">
        <f t="shared" ref="C67:C73" si="0">$E$56*(1+$B67)/($D$58-$B67)</f>
        <v>58.277227722772281</v>
      </c>
    </row>
    <row r="68" spans="2:3">
      <c r="B68" s="42">
        <f>$D$59+1%</f>
        <v>6.9999999999999993E-2</v>
      </c>
      <c r="C68" s="44">
        <f t="shared" si="0"/>
        <v>48.194214876033051</v>
      </c>
    </row>
    <row r="69" spans="2:3">
      <c r="B69" s="42">
        <f>$D$59+0%</f>
        <v>0.06</v>
      </c>
      <c r="C69" s="44">
        <f t="shared" si="0"/>
        <v>40.971631205673752</v>
      </c>
    </row>
    <row r="70" spans="2:3">
      <c r="B70" s="42">
        <f>$D$59+-1%</f>
        <v>4.9999999999999996E-2</v>
      </c>
      <c r="C70" s="44">
        <f t="shared" si="0"/>
        <v>35.543478260869556</v>
      </c>
    </row>
    <row r="71" spans="2:3">
      <c r="B71" s="42">
        <f>$D$59+-2%</f>
        <v>3.9999999999999994E-2</v>
      </c>
      <c r="C71" s="44">
        <f t="shared" si="0"/>
        <v>31.314917127071819</v>
      </c>
    </row>
    <row r="72" spans="2:3">
      <c r="B72" s="42">
        <f>$D$59+-3%</f>
        <v>0.03</v>
      </c>
      <c r="C72" s="44">
        <f t="shared" si="0"/>
        <v>27.927860696517413</v>
      </c>
    </row>
    <row r="73" spans="2:3">
      <c r="B73" s="43">
        <f>$D$59+-4%</f>
        <v>1.9999999999999997E-2</v>
      </c>
      <c r="C73" s="45">
        <f t="shared" si="0"/>
        <v>25.15384615384615</v>
      </c>
    </row>
  </sheetData>
  <dataValidations count="1">
    <dataValidation type="list" allowBlank="1" showInputMessage="1" showErrorMessage="1" sqref="G28 G30 E34" xr:uid="{AAE4091D-586C-411F-B2E3-4F794B7371F6}">
      <formula1>"Yes, No"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FCFEStableGrowth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Burpeau</dc:creator>
  <cp:lastModifiedBy>Christopher Burpeau</cp:lastModifiedBy>
  <dcterms:created xsi:type="dcterms:W3CDTF">2025-12-09T14:54:40Z</dcterms:created>
  <dcterms:modified xsi:type="dcterms:W3CDTF">2025-12-09T18:16:37Z</dcterms:modified>
</cp:coreProperties>
</file>