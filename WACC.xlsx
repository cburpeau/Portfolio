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fdffbe7a56c179/Documents/Hobby and Interests/Excel Finance Examples/"/>
    </mc:Choice>
  </mc:AlternateContent>
  <xr:revisionPtr revIDLastSave="0" documentId="8_{408C57EB-7B91-4E1A-BDBB-0FBC2F0DE096}" xr6:coauthVersionLast="47" xr6:coauthVersionMax="47" xr10:uidLastSave="{00000000-0000-0000-0000-000000000000}"/>
  <bookViews>
    <workbookView xWindow="-108" yWindow="-108" windowWidth="23256" windowHeight="12456" xr2:uid="{8ECBA0A5-7B4B-48FE-BB81-BF153BB8CB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1" l="1"/>
  <c r="E41" i="1"/>
  <c r="E40" i="1"/>
  <c r="C41" i="1"/>
  <c r="D41" i="1"/>
  <c r="D40" i="1"/>
  <c r="C40" i="1"/>
  <c r="C30" i="1"/>
  <c r="C28" i="1"/>
  <c r="C29" i="1" s="1"/>
  <c r="C31" i="1" s="1"/>
  <c r="C27" i="1"/>
  <c r="C22" i="1"/>
  <c r="C21" i="1"/>
  <c r="C20" i="1"/>
  <c r="G12" i="1"/>
  <c r="E12" i="1"/>
  <c r="F12" i="1"/>
  <c r="D12" i="1"/>
  <c r="F11" i="1"/>
  <c r="E11" i="1"/>
  <c r="D11" i="1"/>
</calcChain>
</file>

<file path=xl/sharedStrings.xml><?xml version="1.0" encoding="utf-8"?>
<sst xmlns="http://schemas.openxmlformats.org/spreadsheetml/2006/main" count="44" uniqueCount="35">
  <si>
    <t>Comparable Companies</t>
  </si>
  <si>
    <t>Data</t>
  </si>
  <si>
    <t>Amount of Equity</t>
  </si>
  <si>
    <t>Amount of Debt</t>
  </si>
  <si>
    <t>Tax Rate</t>
  </si>
  <si>
    <t>Equity Beta</t>
  </si>
  <si>
    <t>Result</t>
  </si>
  <si>
    <t>1 + (1-T)D/E</t>
  </si>
  <si>
    <t>Unlevered equity beta</t>
  </si>
  <si>
    <t>Firm 1</t>
  </si>
  <si>
    <t>Firm 2</t>
  </si>
  <si>
    <t>Firm 3</t>
  </si>
  <si>
    <t>Average</t>
  </si>
  <si>
    <t>Input cells are in yellow</t>
  </si>
  <si>
    <t>Project or Acquisition</t>
  </si>
  <si>
    <t>% Debt</t>
  </si>
  <si>
    <t>% Equity</t>
  </si>
  <si>
    <t>Unlevered project beta</t>
  </si>
  <si>
    <t>Project equity beta</t>
  </si>
  <si>
    <t xml:space="preserve">Data </t>
  </si>
  <si>
    <t>Risk-free rate</t>
  </si>
  <si>
    <t>= yield on long-term Treasury bonds</t>
  </si>
  <si>
    <t>= average of unlevered equity betas of comparable firms</t>
  </si>
  <si>
    <t>Market risk premium</t>
  </si>
  <si>
    <t>= historical average excess return of S&amp;P 500</t>
  </si>
  <si>
    <t>Equity risk premium</t>
  </si>
  <si>
    <t>Plus risk-free rate</t>
  </si>
  <si>
    <t>Cost of Equity</t>
  </si>
  <si>
    <t>The estimate of the market risk premium is the arithmatic average of returns from 1960-2025, based on Nyu Stern</t>
  </si>
  <si>
    <t>Cost of Debt</t>
  </si>
  <si>
    <t>Weighted Cost</t>
  </si>
  <si>
    <t>Weights</t>
  </si>
  <si>
    <t>After-tax cost of debt</t>
  </si>
  <si>
    <t>Cost of equity</t>
  </si>
  <si>
    <t xml:space="preserve">Weighted average cost of capital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</si>
</sst>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.0%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0" xfId="0" applyFill="1"/>
    <xf numFmtId="9" fontId="0" fillId="2" borderId="0" xfId="0" applyNumberFormat="1" applyFill="1"/>
    <xf numFmtId="2" fontId="0" fillId="2" borderId="0" xfId="0" applyNumberFormat="1" applyFill="1"/>
    <xf numFmtId="2" fontId="0" fillId="0" borderId="0" xfId="0" applyNumberFormat="1"/>
    <xf numFmtId="174" fontId="0" fillId="0" borderId="0" xfId="0" applyNumberFormat="1"/>
    <xf numFmtId="4" fontId="0" fillId="0" borderId="0" xfId="0" applyNumberFormat="1"/>
    <xf numFmtId="10" fontId="0" fillId="0" borderId="0" xfId="0" applyNumberFormat="1"/>
    <xf numFmtId="0" fontId="0" fillId="0" borderId="0" xfId="0" quotePrefix="1"/>
    <xf numFmtId="10" fontId="0" fillId="2" borderId="0" xfId="0" applyNumberFormat="1" applyFill="1"/>
    <xf numFmtId="10" fontId="2" fillId="0" borderId="0" xfId="0" applyNumberFormat="1" applyFont="1"/>
    <xf numFmtId="0" fontId="0" fillId="0" borderId="0" xfId="0" applyAlignment="1">
      <alignment horizontal="centerContinuous" wrapText="1"/>
    </xf>
    <xf numFmtId="0" fontId="1" fillId="0" borderId="0" xfId="0" applyFont="1" applyAlignment="1">
      <alignment horizontal="centerContinuous" wrapText="1"/>
    </xf>
    <xf numFmtId="0" fontId="0" fillId="3" borderId="0" xfId="0" applyFill="1" applyAlignment="1">
      <alignment horizontal="centerContinuous"/>
    </xf>
    <xf numFmtId="174" fontId="0" fillId="3" borderId="0" xfId="0" applyNumberFormat="1" applyFill="1" applyAlignment="1">
      <alignment horizontal="centerContinuous"/>
    </xf>
    <xf numFmtId="17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DB0DD-EF5E-4A67-B47C-52ED6F2562C9}">
  <dimension ref="A1:G42"/>
  <sheetViews>
    <sheetView tabSelected="1" workbookViewId="0">
      <selection activeCell="B27" sqref="B27"/>
    </sheetView>
  </sheetViews>
  <sheetFormatPr defaultRowHeight="14.4" x14ac:dyDescent="0.3"/>
  <cols>
    <col min="1" max="1" width="20.44140625" bestFit="1" customWidth="1"/>
    <col min="2" max="2" width="27.44140625" bestFit="1" customWidth="1"/>
    <col min="3" max="4" width="9.5546875" bestFit="1" customWidth="1"/>
    <col min="5" max="5" width="12.5546875" bestFit="1" customWidth="1"/>
    <col min="6" max="6" width="9.5546875" bestFit="1" customWidth="1"/>
  </cols>
  <sheetData>
    <row r="1" spans="1:7" x14ac:dyDescent="0.3">
      <c r="A1" s="1" t="s">
        <v>13</v>
      </c>
    </row>
    <row r="2" spans="1:7" x14ac:dyDescent="0.3">
      <c r="A2" s="1"/>
    </row>
    <row r="3" spans="1:7" x14ac:dyDescent="0.3">
      <c r="A3" s="1"/>
      <c r="B3" s="1" t="s">
        <v>0</v>
      </c>
    </row>
    <row r="4" spans="1:7" x14ac:dyDescent="0.3">
      <c r="A4" s="1"/>
    </row>
    <row r="5" spans="1:7" ht="15" thickBot="1" x14ac:dyDescent="0.35">
      <c r="A5" s="1"/>
      <c r="D5" s="2" t="s">
        <v>9</v>
      </c>
      <c r="E5" s="2" t="s">
        <v>10</v>
      </c>
      <c r="F5" s="2" t="s">
        <v>11</v>
      </c>
      <c r="G5" s="2" t="s">
        <v>12</v>
      </c>
    </row>
    <row r="6" spans="1:7" x14ac:dyDescent="0.3">
      <c r="A6" s="1" t="s">
        <v>1</v>
      </c>
      <c r="B6" t="s">
        <v>2</v>
      </c>
      <c r="D6" s="3">
        <v>200</v>
      </c>
      <c r="E6" s="3">
        <v>200</v>
      </c>
      <c r="F6" s="3">
        <v>300</v>
      </c>
    </row>
    <row r="7" spans="1:7" x14ac:dyDescent="0.3">
      <c r="A7" s="1"/>
      <c r="B7" t="s">
        <v>3</v>
      </c>
      <c r="D7" s="3">
        <v>100</v>
      </c>
      <c r="E7" s="3">
        <v>200</v>
      </c>
      <c r="F7" s="3">
        <v>200</v>
      </c>
    </row>
    <row r="8" spans="1:7" x14ac:dyDescent="0.3">
      <c r="A8" s="1"/>
      <c r="B8" t="s">
        <v>4</v>
      </c>
      <c r="D8" s="4">
        <v>0.4</v>
      </c>
      <c r="E8" s="4">
        <v>0.35</v>
      </c>
      <c r="F8" s="4">
        <v>0.38</v>
      </c>
    </row>
    <row r="9" spans="1:7" x14ac:dyDescent="0.3">
      <c r="A9" s="1"/>
      <c r="B9" t="s">
        <v>5</v>
      </c>
      <c r="D9" s="5">
        <v>1.1000000000000001</v>
      </c>
      <c r="E9" s="5">
        <v>1.25</v>
      </c>
      <c r="F9" s="5">
        <v>0.9</v>
      </c>
    </row>
    <row r="10" spans="1:7" x14ac:dyDescent="0.3">
      <c r="A10" s="1"/>
    </row>
    <row r="11" spans="1:7" x14ac:dyDescent="0.3">
      <c r="A11" s="1" t="s">
        <v>6</v>
      </c>
      <c r="B11" t="s">
        <v>7</v>
      </c>
      <c r="D11" s="6">
        <f>1+(1-D8)*D7/D6</f>
        <v>1.3</v>
      </c>
      <c r="E11" s="6">
        <f>1+(1-E8)*E7/E6</f>
        <v>1.65</v>
      </c>
      <c r="F11" s="6">
        <f>1+(1-F8)*F7/F6</f>
        <v>1.4133333333333333</v>
      </c>
    </row>
    <row r="12" spans="1:7" x14ac:dyDescent="0.3">
      <c r="A12" s="1"/>
      <c r="B12" t="s">
        <v>8</v>
      </c>
      <c r="D12" s="6">
        <f>D9/D11</f>
        <v>0.84615384615384615</v>
      </c>
      <c r="E12" s="6">
        <f t="shared" ref="E12:F12" si="0">E9/E11</f>
        <v>0.75757575757575757</v>
      </c>
      <c r="F12" s="6">
        <f t="shared" si="0"/>
        <v>0.6367924528301887</v>
      </c>
      <c r="G12" s="6">
        <f>AVERAGE(D12:F12)</f>
        <v>0.74684068551993077</v>
      </c>
    </row>
    <row r="13" spans="1:7" x14ac:dyDescent="0.3">
      <c r="A13" s="1"/>
    </row>
    <row r="14" spans="1:7" x14ac:dyDescent="0.3">
      <c r="A14" s="1"/>
      <c r="B14" s="1" t="s">
        <v>14</v>
      </c>
    </row>
    <row r="15" spans="1:7" x14ac:dyDescent="0.3">
      <c r="A15" s="1"/>
    </row>
    <row r="16" spans="1:7" x14ac:dyDescent="0.3">
      <c r="A16" s="1" t="s">
        <v>1</v>
      </c>
      <c r="B16" t="s">
        <v>15</v>
      </c>
      <c r="C16" s="4">
        <v>0.4</v>
      </c>
    </row>
    <row r="17" spans="1:4" x14ac:dyDescent="0.3">
      <c r="A17" s="1"/>
      <c r="B17" t="s">
        <v>16</v>
      </c>
      <c r="C17" s="4">
        <v>0.6</v>
      </c>
    </row>
    <row r="18" spans="1:4" x14ac:dyDescent="0.3">
      <c r="A18" s="1"/>
      <c r="B18" t="s">
        <v>4</v>
      </c>
      <c r="C18" s="4">
        <v>0.4</v>
      </c>
    </row>
    <row r="19" spans="1:4" x14ac:dyDescent="0.3">
      <c r="A19" s="1"/>
    </row>
    <row r="20" spans="1:4" x14ac:dyDescent="0.3">
      <c r="A20" s="1" t="s">
        <v>6</v>
      </c>
      <c r="B20" t="s">
        <v>7</v>
      </c>
      <c r="C20" s="8">
        <f>1+(1-C18)*C16/C17</f>
        <v>1.4</v>
      </c>
    </row>
    <row r="21" spans="1:4" x14ac:dyDescent="0.3">
      <c r="A21" s="1"/>
      <c r="B21" t="s">
        <v>17</v>
      </c>
      <c r="C21" s="6">
        <f>G12</f>
        <v>0.74684068551993077</v>
      </c>
      <c r="D21" s="10" t="s">
        <v>22</v>
      </c>
    </row>
    <row r="22" spans="1:4" x14ac:dyDescent="0.3">
      <c r="A22" s="1"/>
      <c r="B22" t="s">
        <v>18</v>
      </c>
      <c r="C22" s="6">
        <f>C20*C21</f>
        <v>1.045576959727903</v>
      </c>
    </row>
    <row r="23" spans="1:4" x14ac:dyDescent="0.3">
      <c r="A23" s="1"/>
    </row>
    <row r="24" spans="1:4" x14ac:dyDescent="0.3">
      <c r="A24" s="1" t="s">
        <v>19</v>
      </c>
      <c r="B24" t="s">
        <v>20</v>
      </c>
      <c r="C24" s="11">
        <v>4.3499999999999997E-2</v>
      </c>
      <c r="D24" s="10" t="s">
        <v>21</v>
      </c>
    </row>
    <row r="25" spans="1:4" x14ac:dyDescent="0.3">
      <c r="A25" s="1"/>
      <c r="B25" t="s">
        <v>23</v>
      </c>
      <c r="C25" s="11">
        <v>4.2500000000000003E-2</v>
      </c>
      <c r="D25" s="10" t="s">
        <v>24</v>
      </c>
    </row>
    <row r="26" spans="1:4" x14ac:dyDescent="0.3">
      <c r="A26" s="1"/>
    </row>
    <row r="27" spans="1:4" x14ac:dyDescent="0.3">
      <c r="A27" s="1" t="s">
        <v>6</v>
      </c>
      <c r="B27" t="s">
        <v>18</v>
      </c>
      <c r="C27" s="6">
        <f>C22</f>
        <v>1.045576959727903</v>
      </c>
    </row>
    <row r="28" spans="1:4" x14ac:dyDescent="0.3">
      <c r="A28" s="1"/>
      <c r="B28" t="s">
        <v>23</v>
      </c>
      <c r="C28" s="12">
        <f>C25</f>
        <v>4.2500000000000003E-2</v>
      </c>
    </row>
    <row r="29" spans="1:4" x14ac:dyDescent="0.3">
      <c r="A29" s="1"/>
      <c r="B29" t="s">
        <v>25</v>
      </c>
      <c r="C29" s="9">
        <f>C27*C28</f>
        <v>4.443702078843588E-2</v>
      </c>
    </row>
    <row r="30" spans="1:4" x14ac:dyDescent="0.3">
      <c r="A30" s="1"/>
      <c r="B30" t="s">
        <v>26</v>
      </c>
      <c r="C30" s="12">
        <f>C24</f>
        <v>4.3499999999999997E-2</v>
      </c>
    </row>
    <row r="31" spans="1:4" x14ac:dyDescent="0.3">
      <c r="A31" s="1"/>
      <c r="B31" t="s">
        <v>27</v>
      </c>
      <c r="C31" s="9">
        <f>C29+C30</f>
        <v>8.7937020788435877E-2</v>
      </c>
    </row>
    <row r="32" spans="1:4" x14ac:dyDescent="0.3">
      <c r="A32" s="1"/>
    </row>
    <row r="33" spans="1:5" ht="28.8" x14ac:dyDescent="0.3">
      <c r="A33" s="14" t="s">
        <v>28</v>
      </c>
      <c r="B33" s="13"/>
      <c r="C33" s="13"/>
      <c r="D33" s="13"/>
    </row>
    <row r="34" spans="1:5" x14ac:dyDescent="0.3">
      <c r="A34" s="14"/>
      <c r="B34" s="13"/>
      <c r="C34" s="13"/>
      <c r="D34" s="13"/>
    </row>
    <row r="35" spans="1:5" x14ac:dyDescent="0.3">
      <c r="A35" s="1" t="s">
        <v>19</v>
      </c>
      <c r="B35" t="s">
        <v>29</v>
      </c>
      <c r="C35" s="11">
        <v>0.09</v>
      </c>
    </row>
    <row r="36" spans="1:5" x14ac:dyDescent="0.3">
      <c r="A36" s="1"/>
    </row>
    <row r="37" spans="1:5" x14ac:dyDescent="0.3">
      <c r="A37" s="1" t="s">
        <v>6</v>
      </c>
    </row>
    <row r="38" spans="1:5" ht="15" thickBot="1" x14ac:dyDescent="0.35">
      <c r="D38" s="2" t="s">
        <v>31</v>
      </c>
      <c r="E38" s="2" t="s">
        <v>30</v>
      </c>
    </row>
    <row r="40" spans="1:5" x14ac:dyDescent="0.3">
      <c r="B40" t="s">
        <v>32</v>
      </c>
      <c r="C40" s="7">
        <f>(1-C18)*C35</f>
        <v>5.3999999999999999E-2</v>
      </c>
      <c r="D40" s="7">
        <f>C16</f>
        <v>0.4</v>
      </c>
      <c r="E40" s="7">
        <f>C40*D40</f>
        <v>2.1600000000000001E-2</v>
      </c>
    </row>
    <row r="41" spans="1:5" x14ac:dyDescent="0.3">
      <c r="B41" t="s">
        <v>33</v>
      </c>
      <c r="C41" s="7">
        <f>C31</f>
        <v>8.7937020788435877E-2</v>
      </c>
      <c r="D41" s="7">
        <f>C17</f>
        <v>0.6</v>
      </c>
      <c r="E41" s="7">
        <f>C41*D41</f>
        <v>5.2762212473061523E-2</v>
      </c>
    </row>
    <row r="42" spans="1:5" x14ac:dyDescent="0.3">
      <c r="B42" s="15" t="s">
        <v>34</v>
      </c>
      <c r="C42" s="16"/>
      <c r="D42" s="7"/>
      <c r="E42" s="17">
        <f>SUM(E40:E41)</f>
        <v>7.4362212473061517E-2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Burpeau</dc:creator>
  <cp:lastModifiedBy>Christopher Burpeau</cp:lastModifiedBy>
  <dcterms:created xsi:type="dcterms:W3CDTF">2026-02-02T21:08:02Z</dcterms:created>
  <dcterms:modified xsi:type="dcterms:W3CDTF">2026-02-02T21:55:39Z</dcterms:modified>
</cp:coreProperties>
</file>